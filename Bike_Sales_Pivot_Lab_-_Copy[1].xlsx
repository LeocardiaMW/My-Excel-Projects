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75" documentId="13_ncr:1_{C33271F6-7B2F-45C8-B23D-24BE88135F3D}" xr6:coauthVersionLast="47" xr6:coauthVersionMax="47" xr10:uidLastSave="{DDD37F4E-D530-4015-90BE-A3E785BFE20E}"/>
  <bookViews>
    <workbookView xWindow="-120" yWindow="-120" windowWidth="29040" windowHeight="15225" firstSheet="1" activeTab="1" xr2:uid="{00000000-000D-0000-FFFF-FFFF00000000}"/>
  </bookViews>
  <sheets>
    <sheet name="Bike Sales" sheetId="1" r:id="rId1"/>
    <sheet name="Sheet1" sheetId="2" r:id="rId2"/>
  </sheets>
  <definedNames>
    <definedName name="_xlnm._FilterDatabase" localSheetId="0" hidden="1">'Bike Sales'!$A$1:$S$89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<sst xmlns="http://schemas.openxmlformats.org/spreadsheetml/2006/main" count="835" uniqueCount="161">
  <si>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</si>
  <si>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</si>
  <si>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</si>
  <si>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</si>
  <si>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</si>
  <si>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</si>
  <si>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</si>
  <si>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</si>
  <si>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</si>
  <si>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</si>
  <si>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</si>
  <si>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</si>
  <si>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</si>
  <si>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</si>
  <si>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</si>
  <si>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</si>
  <si>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</si>
  <si>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</si>
  <si>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</si>
  <si>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</si>
  <si>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</si>
  <si>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</si>
  <si>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</si>
  <si>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</si>
  <si>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</si>
  <si>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</si>
  <si>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</si>
  <si>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</si>
  <si>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</si>
  <si>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</si>
  <si>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</si>
  <si>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</si>
  <si>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</si>
  <si>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</si>
  <si>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</si>
  <si>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</si>
  <si>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</si>
  <si>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</si>
  <si>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</si>
  <si>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</si>
  <si>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</si>
  <si>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</si>
  <si>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</si>
  <si>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</si>
  <si>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</si>
  <si>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</si>
  <si>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</si>
  <si>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</si>
  <si>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</si>
  <si>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</si>
  <si>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</si>
  <si>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</si>
  <si>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</si>
  <si>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</si>
  <si>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</si>
  <si>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</si>
  <si>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</si>
  <si>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</si>
  <si>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</si>
  <si>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</si>
  <si>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</si>
  <si>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</si>
  <si>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</si>
  <si>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</si>
  <si>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</si>
  <si>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</si>
  <si>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</si>
  <si>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</si>
  <si>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</si>
  <si>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</si>
  <si>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</si>
  <si>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</si>
  <si>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</si>
  <si>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</si>
  <si>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</si>
  <si>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</si>
  <si>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</si>
  <si>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</si>
  <si>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</si>
  <si>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</si>
  <si>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</si>
  <si>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</si>
  <si>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</si>
  <si>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</si>
  <si>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</si>
  <si>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</si>
  <si>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</si>
  <si>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</si>
  <si>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</si>
  <si>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</si>
  <si>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</si>
  <si>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</si>
  <si>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</si>
  <si>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</si>
  <si>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</si>
  <si>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</si>
  <si>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</si>
  <si>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</si>
  <si>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</si>
  <si>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</si>
  <si>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</si>
  <si>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</si>
  <si>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</si>
  <si>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</si>
  <si>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</si>
  <si>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</si>
  <si>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</si>
  <si>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</si>
  <si>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</si>
  <si>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</si>
  <si>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</si>
  <si>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</si>
  <si>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</si>
  <si>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</si>
  <si>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</si>
  <si>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</si>
  <si>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</si>
  <si>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</si>
  <si>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</si>
  <si>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</si>
  <si>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</si>
  <si>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</si>
  <si>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</si>
  <si>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</si>
  <si>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</si>
  <si>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</si>
  <si>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</si>
  <si>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</si>
  <si>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</si>
  <si>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</si>
  <si>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</si>
  <si>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</si>
  <si>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</si>
  <si>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</si>
  <si>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</si>
  <si>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</si>
  <si>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</si>
  <si>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</si>
  <si>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</si>
  <si>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</si>
  <si>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</si>
  <si>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</si>
  <si>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</si>
  <si>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</si>
  <si>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</si>
  <si>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</si>
  <si>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</si>
  <si>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</si>
  <si>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</si>
  <si>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</si>
  <si>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</si>
  <si>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</si>
  <si>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</si>
  <si>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</si>
  <si>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</si>
  <si>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</si>
  <si>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Order_Quantity</t>
  </si>
  <si>
    <t>Grand Total</t>
  </si>
  <si>
    <t>Youth (&lt;25) Total</t>
  </si>
  <si>
    <t>Young Adults (25-34) Total</t>
  </si>
  <si>
    <t>Adults (35-64)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</si>
</sst>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Sales Summary</a:t>
            </a:r>
          </a:p>
        </c:rich>
      </c:tx>
      <c:layout>
        <c:manualLayout>
          <c:xMode val="edge"/>
          <c:yMode val="edge"/>
          <c:x val="0.37345824516476611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8-48C4-B78B-D8401F93C1AB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8-4A8D-A527-ED4A896C1BE4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A8-4A8D-A527-ED4A896C1BE4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A8-4A8D-A527-ED4A896C1BE4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A8-4A8D-A527-ED4A896C1BE4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A8-4A8D-A527-ED4A896C1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6904455"/>
        <c:axId val="716906503"/>
      </c:barChart>
      <c:catAx>
        <c:axId val="716904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906503"/>
        <c:crosses val="autoZero"/>
        <c:auto val="1"/>
        <c:lblAlgn val="ctr"/>
        <c:lblOffset val="100"/>
        <c:noMultiLvlLbl val="0"/>
      </c:catAx>
      <c:valAx>
        <c:axId val="716906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904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16</xdr:row>
      <xdr:rowOff>28575</xdr:rowOff>
    </xdr:from>
    <xdr:to>
      <xdr:col>6</xdr:col>
      <xdr:colOff>361950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9FCF89-80EE-BA29-578F-1DEA95CEA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506993981478" createdVersion="8" refreshedVersion="8" minRefreshableVersion="3" recordCount="88" xr:uid="{F8809415-9219-45AE-82A1-D5D677E314DD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 count="21">
        <n v="4172"/>
        <n v="1054"/>
        <n v="698"/>
        <n v="349"/>
        <n v="2086"/>
        <n v="1043"/>
        <n v="1396"/>
        <n v="1047"/>
        <n v="2108"/>
        <n v="1028"/>
        <n v="4216"/>
        <n v="245"/>
        <n v="2954"/>
        <n v="1488"/>
        <n v="3129"/>
        <n v="3162"/>
        <n v="257"/>
        <n v="980"/>
        <n v="5908"/>
        <n v="490"/>
        <n v="735"/>
      </sharedItems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 pivotCacheId="16508705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x v="1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x v="2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x v="3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x v="4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x v="5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x v="5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x v="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x v="0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x v="1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x v="5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x v="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x v="5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x v="5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x v="1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x v="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x v="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x v="9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x v="10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x v="4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x v="11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x v="12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x v="1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x v="4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x v="4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x v="5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x v="11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x v="13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x v="5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x v="14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x v="2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x v="5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x v="3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x v="1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x v="10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x v="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x v="4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x v="1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x v="1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x v="15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x v="16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x v="5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x v="5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x v="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x v="5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x v="3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x v="1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x v="4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x v="4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x v="1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x v="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x v="3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x v="1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x v="9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x v="10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x v="15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x v="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x v="14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x v="5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x v="1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x v="10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x v="17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x v="0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x v="1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x v="0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x v="0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x v="19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x v="4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x v="1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x v="1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x v="0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x v="20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x v="1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x v="1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x v="15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x v="2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x v="15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x v="14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x v="16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x v="5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x v="5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x v="1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x v="1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x v="5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x v="11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x v="0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1942C-0C7E-4EC6-851B-3E4834003229}" name="PivotTable1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>
      <items count="22">
        <item x="11"/>
        <item x="16"/>
        <item x="3"/>
        <item x="19"/>
        <item x="2"/>
        <item x="20"/>
        <item x="17"/>
        <item x="9"/>
        <item x="5"/>
        <item x="7"/>
        <item x="1"/>
        <item x="6"/>
        <item x="13"/>
        <item x="4"/>
        <item x="8"/>
        <item x="12"/>
        <item x="14"/>
        <item x="15"/>
        <item x="0"/>
        <item x="10"/>
        <item x="18"/>
        <item t="default"/>
      </items>
    </pivotField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1">
    <format dxfId="0">
      <pivotArea outline="0" collapsedLevelsAreSubtotals="1" fieldPosition="0"/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O1" sqref="O1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B4AD-13D2-4E5B-9BCD-7FC942006CAF}">
  <dimension ref="A3:I14"/>
  <sheetViews>
    <sheetView tabSelected="1" workbookViewId="0">
      <selection activeCell="H8" sqref="H8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  <col min="10" max="10" width="14" bestFit="1" customWidth="1"/>
    <col min="11" max="11" width="22.42578125" bestFit="1" customWidth="1"/>
    <col min="12" max="12" width="14" bestFit="1" customWidth="1"/>
    <col min="13" max="13" width="22.42578125" bestFit="1" customWidth="1"/>
    <col min="14" max="14" width="14" bestFit="1" customWidth="1"/>
    <col min="15" max="15" width="27.5703125" bestFit="1" customWidth="1"/>
    <col min="16" max="16" width="19.140625" bestFit="1" customWidth="1"/>
  </cols>
  <sheetData>
    <row r="3" spans="1:9">
      <c r="A3" s="9" t="s">
        <v>156</v>
      </c>
      <c r="C3" s="9" t="s">
        <v>8</v>
      </c>
    </row>
    <row r="4" spans="1:9">
      <c r="A4" s="9" t="s">
        <v>6</v>
      </c>
      <c r="B4" s="9" t="s">
        <v>7</v>
      </c>
      <c r="C4" t="s">
        <v>37</v>
      </c>
      <c r="D4" t="s">
        <v>57</v>
      </c>
      <c r="E4" t="s">
        <v>86</v>
      </c>
      <c r="F4" t="s">
        <v>49</v>
      </c>
      <c r="G4" t="s">
        <v>30</v>
      </c>
      <c r="H4" t="s">
        <v>23</v>
      </c>
      <c r="I4" t="s">
        <v>157</v>
      </c>
    </row>
    <row r="5" spans="1:9">
      <c r="A5" t="s">
        <v>42</v>
      </c>
      <c r="B5" t="s">
        <v>22</v>
      </c>
      <c r="C5" s="10">
        <v>9</v>
      </c>
      <c r="D5" s="10">
        <v>0</v>
      </c>
      <c r="E5" s="10">
        <v>6</v>
      </c>
      <c r="F5" s="10">
        <v>0</v>
      </c>
      <c r="G5" s="10">
        <v>1</v>
      </c>
      <c r="H5" s="10">
        <v>0</v>
      </c>
      <c r="I5" s="10">
        <v>16</v>
      </c>
    </row>
    <row r="6" spans="1:9">
      <c r="B6" t="s">
        <v>29</v>
      </c>
      <c r="C6" s="10">
        <v>2</v>
      </c>
      <c r="D6" s="10">
        <v>0</v>
      </c>
      <c r="E6" s="10">
        <v>4</v>
      </c>
      <c r="F6" s="10">
        <v>0</v>
      </c>
      <c r="G6" s="10">
        <v>5</v>
      </c>
      <c r="H6" s="10">
        <v>0</v>
      </c>
      <c r="I6" s="10">
        <v>11</v>
      </c>
    </row>
    <row r="7" spans="1:9">
      <c r="A7" t="s">
        <v>158</v>
      </c>
      <c r="C7" s="10">
        <v>11</v>
      </c>
      <c r="D7" s="10">
        <v>0</v>
      </c>
      <c r="E7" s="10">
        <v>10</v>
      </c>
      <c r="F7" s="10">
        <v>0</v>
      </c>
      <c r="G7" s="10">
        <v>6</v>
      </c>
      <c r="H7" s="10">
        <v>0</v>
      </c>
      <c r="I7" s="10">
        <v>27</v>
      </c>
    </row>
    <row r="8" spans="1:9">
      <c r="A8" t="s">
        <v>36</v>
      </c>
      <c r="B8" t="s">
        <v>22</v>
      </c>
      <c r="C8" s="10">
        <v>17</v>
      </c>
      <c r="D8" s="10">
        <v>6</v>
      </c>
      <c r="E8" s="10">
        <v>1</v>
      </c>
      <c r="F8" s="10">
        <v>0</v>
      </c>
      <c r="G8" s="10">
        <v>3</v>
      </c>
      <c r="H8" s="10">
        <v>10</v>
      </c>
      <c r="I8" s="10">
        <v>37</v>
      </c>
    </row>
    <row r="9" spans="1:9">
      <c r="B9" t="s">
        <v>29</v>
      </c>
      <c r="C9" s="10">
        <v>3</v>
      </c>
      <c r="D9" s="10">
        <v>5</v>
      </c>
      <c r="E9" s="10">
        <v>9</v>
      </c>
      <c r="F9" s="10">
        <v>0</v>
      </c>
      <c r="G9" s="10">
        <v>1</v>
      </c>
      <c r="H9" s="10">
        <v>6</v>
      </c>
      <c r="I9" s="10">
        <v>24</v>
      </c>
    </row>
    <row r="10" spans="1:9">
      <c r="A10" t="s">
        <v>159</v>
      </c>
      <c r="C10" s="10">
        <v>20</v>
      </c>
      <c r="D10" s="10">
        <v>11</v>
      </c>
      <c r="E10" s="10">
        <v>10</v>
      </c>
      <c r="F10" s="10">
        <v>0</v>
      </c>
      <c r="G10" s="10">
        <v>4</v>
      </c>
      <c r="H10" s="10">
        <v>16</v>
      </c>
      <c r="I10" s="10">
        <v>61</v>
      </c>
    </row>
    <row r="11" spans="1:9">
      <c r="A11" t="s">
        <v>21</v>
      </c>
      <c r="B11" t="s">
        <v>22</v>
      </c>
      <c r="C11" s="10">
        <v>17</v>
      </c>
      <c r="D11" s="10">
        <v>0</v>
      </c>
      <c r="E11" s="10">
        <v>0</v>
      </c>
      <c r="F11" s="10">
        <v>8</v>
      </c>
      <c r="G11" s="10">
        <v>1</v>
      </c>
      <c r="H11" s="10">
        <v>29</v>
      </c>
      <c r="I11" s="10">
        <v>55</v>
      </c>
    </row>
    <row r="12" spans="1:9">
      <c r="B12" t="s">
        <v>29</v>
      </c>
      <c r="C12" s="10">
        <v>15</v>
      </c>
      <c r="D12" s="10">
        <v>0</v>
      </c>
      <c r="E12" s="10">
        <v>0</v>
      </c>
      <c r="F12" s="10">
        <v>5</v>
      </c>
      <c r="G12" s="10">
        <v>3</v>
      </c>
      <c r="H12" s="10">
        <v>21</v>
      </c>
      <c r="I12" s="10">
        <v>44</v>
      </c>
    </row>
    <row r="13" spans="1:9">
      <c r="A13" t="s">
        <v>160</v>
      </c>
      <c r="C13" s="10">
        <v>32</v>
      </c>
      <c r="D13" s="10">
        <v>0</v>
      </c>
      <c r="E13" s="10">
        <v>0</v>
      </c>
      <c r="F13" s="10">
        <v>13</v>
      </c>
      <c r="G13" s="10">
        <v>4</v>
      </c>
      <c r="H13" s="10">
        <v>50</v>
      </c>
      <c r="I13" s="10">
        <v>99</v>
      </c>
    </row>
    <row r="14" spans="1:9">
      <c r="A14" t="s">
        <v>157</v>
      </c>
      <c r="C14" s="10">
        <v>63</v>
      </c>
      <c r="D14" s="10">
        <v>11</v>
      </c>
      <c r="E14" s="10">
        <v>20</v>
      </c>
      <c r="F14" s="10">
        <v>13</v>
      </c>
      <c r="G14" s="10">
        <v>14</v>
      </c>
      <c r="H14" s="10">
        <v>66</v>
      </c>
      <c r="I14" s="10">
        <v>187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7BA752E0-B1BE-4886-A4DE-245DF0C4741D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Leocardia Mwaisaka</cp:lastModifiedBy>
  <cp:revision/>
  <dcterms:created xsi:type="dcterms:W3CDTF">2022-11-04T20:14:11Z</dcterms:created>
  <dcterms:modified xsi:type="dcterms:W3CDTF">2026-07-01T13:08:22Z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