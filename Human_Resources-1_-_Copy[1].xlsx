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331" documentId="8_{244C8E35-DAB8-414E-8848-0040370C00FC}" xr6:coauthVersionLast="47" xr6:coauthVersionMax="47" xr10:uidLastSave="{F7868070-5292-4EC9-AD94-19807B89080A}"/>
  <bookViews>
    <workbookView xWindow="-28920" yWindow="-1530" windowWidth="29040" windowHeight="1644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<sst xmlns="http://schemas.openxmlformats.org/spreadsheetml/2006/main" count="94" uniqueCount="42">
  <si>
    <t>Payroll</t>
  </si>
  <si>
    <t>Payroll Rules</t>
  </si>
  <si>
    <t>Tesco Website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</si>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</sst>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sco.com/shop/en-GB/landing/groceries?msockid=1134bfbd787063312d7ea83779e462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H7" sqref="H7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E3" s="17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hyperlinks>
    <hyperlink ref="E3" r:id="rId1" xr:uid="{474646FD-3A44-47D4-9865-EEB3EA1DA2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G5" sqref="G5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6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7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8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9</v>
      </c>
      <c r="B7" t="s">
        <v>38</v>
      </c>
      <c r="C7" s="26">
        <v>23562</v>
      </c>
      <c r="D7" t="s">
        <v>36</v>
      </c>
    </row>
    <row r="8" spans="1:10">
      <c r="A8" t="s">
        <v>10</v>
      </c>
      <c r="B8" t="s">
        <v>35</v>
      </c>
      <c r="C8" s="26">
        <v>19888</v>
      </c>
      <c r="D8" t="s">
        <v>39</v>
      </c>
    </row>
    <row r="9" spans="1:10">
      <c r="A9" t="s">
        <v>11</v>
      </c>
      <c r="B9" t="s">
        <v>35</v>
      </c>
      <c r="C9" s="26">
        <v>32918</v>
      </c>
      <c r="D9" t="s">
        <v>37</v>
      </c>
      <c r="J9" s="19"/>
    </row>
    <row r="10" spans="1:10">
      <c r="A10" t="s">
        <v>12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13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14</v>
      </c>
      <c r="B12" t="s">
        <v>35</v>
      </c>
      <c r="C12" s="26">
        <v>38296</v>
      </c>
      <c r="D12" t="s">
        <v>37</v>
      </c>
    </row>
    <row r="13" spans="1:10">
      <c r="A13" t="s">
        <v>15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16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17</v>
      </c>
      <c r="B15" t="s">
        <v>38</v>
      </c>
      <c r="C15" s="26">
        <v>20850</v>
      </c>
      <c r="D15" t="s">
        <v>37</v>
      </c>
    </row>
    <row r="16" spans="1:10">
      <c r="A16" t="s">
        <v>18</v>
      </c>
      <c r="B16" t="s">
        <v>35</v>
      </c>
      <c r="C16" s="26">
        <v>19345</v>
      </c>
      <c r="D16" t="s">
        <v>37</v>
      </c>
    </row>
    <row r="17" spans="1:4">
      <c r="A17" t="s">
        <v>19</v>
      </c>
      <c r="B17" t="s">
        <v>38</v>
      </c>
      <c r="C17" s="26">
        <v>38158</v>
      </c>
      <c r="D17" t="s">
        <v>36</v>
      </c>
    </row>
    <row r="18" spans="1:4">
      <c r="A18" s="6" t="s">
        <v>27</v>
      </c>
      <c r="B18" s="6"/>
      <c r="C18" s="27"/>
      <c r="D18" s="6"/>
    </row>
    <row r="20" spans="1:4">
      <c r="A20" s="3" t="s">
        <v>34</v>
      </c>
      <c r="B20" s="3" t="s">
        <v>33</v>
      </c>
      <c r="C20" s="3" t="s">
        <v>40</v>
      </c>
    </row>
    <row r="21" spans="1:4">
      <c r="A21" t="s">
        <v>36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39</v>
      </c>
      <c r="B23" s="25">
        <f t="shared" si="0"/>
        <v>73601</v>
      </c>
      <c r="C23">
        <f t="shared" si="1"/>
        <v>3</v>
      </c>
    </row>
    <row r="24" spans="1:4">
      <c r="A24" s="6" t="s">
        <v>41</v>
      </c>
      <c r="B24" s="28">
        <f>SUM(B21:B23)</f>
        <v>391056</v>
      </c>
      <c r="C24" s="7">
        <f>SUM(C21:C23)</f>
        <v>14</v>
      </c>
    </row>
    <row r="26" spans="1:4">
      <c r="A26" s="3" t="s">
        <v>32</v>
      </c>
      <c r="B26" s="3" t="s">
        <v>33</v>
      </c>
      <c r="C26" s="3" t="s">
        <v>40</v>
      </c>
    </row>
    <row r="27" spans="1:4">
      <c r="A27" t="s">
        <v>35</v>
      </c>
      <c r="B27" s="25">
        <f>SUMIF($B$4:$B$17,A27,$C$4:$C$17)</f>
        <v>253587</v>
      </c>
      <c r="C27">
        <f>COUNTIF(B4:B17,A27)</f>
        <v>9</v>
      </c>
    </row>
    <row r="28" spans="1:4">
      <c r="A28" t="s">
        <v>38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Leocardia Mwaisaka</cp:lastModifiedBy>
  <cp:revision/>
  <dcterms:created xsi:type="dcterms:W3CDTF">2009-08-25T13:44:58Z</dcterms:created>
  <dcterms:modified xsi:type="dcterms:W3CDTF">2026-07-02T10:35:29Z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